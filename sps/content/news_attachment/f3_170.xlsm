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105" windowWidth="19035" windowHeight="9210"/>
  </bookViews>
  <sheets>
    <sheet name="KKM KELAS 3 SEM 1" sheetId="3" r:id="rId1"/>
    <sheet name="Sheet1" sheetId="4" r:id="rId2"/>
  </sheets>
  <externalReferences>
    <externalReference r:id="rId3"/>
  </externalReferences>
  <calcPr calcId="124519"/>
</workbook>
</file>

<file path=xl/calcChain.xml><?xml version="1.0" encoding="utf-8"?>
<calcChain xmlns="http://schemas.openxmlformats.org/spreadsheetml/2006/main">
  <c r="F30" i="3"/>
  <c r="F22"/>
  <c r="F14"/>
  <c r="F16"/>
  <c r="F12"/>
  <c r="F23"/>
</calcChain>
</file>

<file path=xl/sharedStrings.xml><?xml version="1.0" encoding="utf-8"?>
<sst xmlns="http://schemas.openxmlformats.org/spreadsheetml/2006/main" count="32" uniqueCount="29">
  <si>
    <t>KRITERIA KETUNTASAN MINIMUM (KKM)</t>
  </si>
  <si>
    <t>SEKOLAH MENENGAH</t>
  </si>
  <si>
    <t>SEKOLAH ALAM BOGOR</t>
  </si>
  <si>
    <t>Standar Kompetensi</t>
  </si>
  <si>
    <t>Kompetensi Dasar</t>
  </si>
  <si>
    <t>MATA PELAJARAN SENI BUDAYA-SUNDA</t>
  </si>
  <si>
    <t>Intake</t>
  </si>
  <si>
    <t>Kompleks</t>
  </si>
  <si>
    <t>Daya Dukung</t>
  </si>
  <si>
    <t>KKM</t>
  </si>
  <si>
    <t>Bagus Priatna</t>
  </si>
  <si>
    <t>Fasilitator Seni Budaya-Sunda</t>
  </si>
  <si>
    <t>Manager Program SM</t>
  </si>
  <si>
    <t>KKM Seni Budaya Sunda</t>
  </si>
  <si>
    <t>TAHUN AJARAN 2014- 2015</t>
  </si>
  <si>
    <t>Okwan Himpuni</t>
  </si>
  <si>
    <t xml:space="preserve">Disetujui oleh, </t>
  </si>
  <si>
    <t xml:space="preserve">Dibuat oleh, </t>
  </si>
  <si>
    <t>Kelas 3 Semester  2</t>
  </si>
  <si>
    <t>Mengidentifikasi Karya Seni Budaya (Nusantara)</t>
  </si>
  <si>
    <t>Mengapresiasi Karya Seni Budaya (Nusantara)</t>
  </si>
  <si>
    <t>Mengekspresi Karya Seni Budaya (Nusantara)</t>
  </si>
  <si>
    <t>1. Mengetahui Alur Sejarah Karya Seni Budaya Nusantara</t>
  </si>
  <si>
    <t>2. Mengetahui dan Mengidentifikasi Hasil Karya Seni Budaya Nusantara</t>
  </si>
  <si>
    <t>1. Mengeksplorasi Apa Yang Terkandung Dalam Karya Seni Budaya Nusantara</t>
  </si>
  <si>
    <t>2. Memahami Apa Yang Terkandung Dalam Karya Seni Budaya Nusantara</t>
  </si>
  <si>
    <t>1. Mengekspresikan Diri Melalui Karya Seni Budaya Nusantara</t>
  </si>
  <si>
    <t>2. Menerapkan Prinsip Nilai Yang Terkandung Dalam Seni Budaya Nusantara</t>
  </si>
  <si>
    <t>Bogor  Januari  2015</t>
  </si>
</sst>
</file>

<file path=xl/styles.xml><?xml version="1.0" encoding="utf-8"?>
<styleSheet xmlns="http://schemas.openxmlformats.org/spreadsheetml/2006/main">
  <fonts count="10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0"/>
      <color indexed="59"/>
      <name val="Calibri"/>
      <family val="2"/>
    </font>
    <font>
      <b/>
      <sz val="12"/>
      <color indexed="59"/>
      <name val="Century Schoolbook"/>
      <family val="1"/>
    </font>
    <font>
      <sz val="10"/>
      <name val="Bodoni MT"/>
      <family val="1"/>
    </font>
    <font>
      <sz val="10"/>
      <name val="Arial"/>
      <family val="2"/>
    </font>
    <font>
      <sz val="12"/>
      <color indexed="59"/>
      <name val="Arial"/>
      <family val="2"/>
    </font>
    <font>
      <sz val="11"/>
      <name val="Arial"/>
      <family val="2"/>
    </font>
    <font>
      <sz val="10"/>
      <color indexed="59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3" fillId="0" borderId="0" xfId="0" applyFont="1" applyAlignment="1">
      <alignment horizontal="center"/>
    </xf>
    <xf numFmtId="0" fontId="1" fillId="0" borderId="0" xfId="0" applyFont="1"/>
    <xf numFmtId="0" fontId="0" fillId="0" borderId="1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 textRotation="90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6" fillId="0" borderId="3" xfId="0" applyFont="1" applyBorder="1" applyAlignment="1"/>
    <xf numFmtId="0" fontId="8" fillId="0" borderId="4" xfId="0" applyFont="1" applyBorder="1" applyAlignment="1">
      <alignment vertical="center" wrapText="1"/>
    </xf>
    <xf numFmtId="0" fontId="6" fillId="0" borderId="4" xfId="0" applyFont="1" applyBorder="1" applyAlignment="1"/>
    <xf numFmtId="0" fontId="6" fillId="0" borderId="4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 vertical="center" wrapText="1"/>
    </xf>
    <xf numFmtId="0" fontId="6" fillId="0" borderId="1" xfId="0" applyFont="1" applyBorder="1"/>
    <xf numFmtId="0" fontId="2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 vertical="center" wrapText="1"/>
    </xf>
    <xf numFmtId="1" fontId="9" fillId="0" borderId="3" xfId="0" applyNumberFormat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</xdr:row>
      <xdr:rowOff>190500</xdr:rowOff>
    </xdr:from>
    <xdr:to>
      <xdr:col>0</xdr:col>
      <xdr:colOff>1323975</xdr:colOff>
      <xdr:row>8</xdr:row>
      <xdr:rowOff>19050</xdr:rowOff>
    </xdr:to>
    <xdr:grpSp>
      <xdr:nvGrpSpPr>
        <xdr:cNvPr id="2101" name="Group 1"/>
        <xdr:cNvGrpSpPr>
          <a:grpSpLocks/>
        </xdr:cNvGrpSpPr>
      </xdr:nvGrpSpPr>
      <xdr:grpSpPr bwMode="auto">
        <a:xfrm>
          <a:off x="457200" y="550333"/>
          <a:ext cx="866775" cy="950384"/>
          <a:chOff x="109571775" y="113004150"/>
          <a:chExt cx="1471800" cy="1605600"/>
        </a:xfrm>
      </xdr:grpSpPr>
      <xdr:pic>
        <xdr:nvPicPr>
          <xdr:cNvPr id="2102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109571775" y="113004150"/>
            <a:ext cx="1471800" cy="1605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2103" name="Picture 3" descr="Project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109761300" y="113214825"/>
            <a:ext cx="1082100" cy="1116000"/>
          </a:xfrm>
          <a:prstGeom prst="rect">
            <a:avLst/>
          </a:prstGeom>
          <a:noFill/>
          <a:ln w="9525" algn="in">
            <a:noFill/>
            <a:miter lim="800000"/>
            <a:headEnd/>
            <a:tailEnd/>
          </a:ln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mester%20Plan%20Kelas%201-1%20edi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M PLAN I Sem I"/>
      <sheetName val="KKM"/>
      <sheetName val="nilai harian"/>
      <sheetName val="Hasil UTS-UAS"/>
    </sheetNames>
    <sheetDataSet>
      <sheetData sheetId="0"/>
      <sheetData sheetId="1" refreshError="1">
        <row r="22">
          <cell r="C22">
            <v>2</v>
          </cell>
          <cell r="D22">
            <v>2</v>
          </cell>
          <cell r="E22">
            <v>2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F40"/>
  <sheetViews>
    <sheetView tabSelected="1" topLeftCell="A28" zoomScale="90" zoomScaleNormal="90" workbookViewId="0">
      <selection activeCell="G45" sqref="G45"/>
    </sheetView>
  </sheetViews>
  <sheetFormatPr defaultRowHeight="12.75"/>
  <cols>
    <col min="1" max="1" width="27.5703125" customWidth="1"/>
    <col min="2" max="2" width="88.85546875" bestFit="1" customWidth="1"/>
    <col min="3" max="3" width="3.85546875" bestFit="1" customWidth="1"/>
    <col min="4" max="4" width="5.42578125" customWidth="1"/>
    <col min="5" max="5" width="4.85546875" customWidth="1"/>
    <col min="6" max="6" width="4.42578125" customWidth="1"/>
  </cols>
  <sheetData>
    <row r="2" spans="1:6" ht="15.75" customHeight="1">
      <c r="A2" s="40" t="s">
        <v>0</v>
      </c>
      <c r="B2" s="40"/>
      <c r="C2" s="40"/>
      <c r="D2" s="40"/>
      <c r="E2" s="40"/>
      <c r="F2" s="40"/>
    </row>
    <row r="3" spans="1:6" ht="15.75" customHeight="1">
      <c r="A3" s="40" t="s">
        <v>5</v>
      </c>
      <c r="B3" s="40"/>
      <c r="C3" s="40"/>
      <c r="D3" s="40"/>
      <c r="E3" s="40"/>
      <c r="F3" s="40"/>
    </row>
    <row r="4" spans="1:6" ht="15.75" customHeight="1">
      <c r="A4" s="40" t="s">
        <v>14</v>
      </c>
      <c r="B4" s="40"/>
      <c r="C4" s="40"/>
      <c r="D4" s="40"/>
      <c r="E4" s="40"/>
      <c r="F4" s="40"/>
    </row>
    <row r="5" spans="1:6" ht="15.75" customHeight="1">
      <c r="A5" s="40" t="s">
        <v>1</v>
      </c>
      <c r="B5" s="40"/>
      <c r="C5" s="40"/>
      <c r="D5" s="40"/>
      <c r="E5" s="40"/>
      <c r="F5" s="40"/>
    </row>
    <row r="6" spans="1:6" ht="15.75" customHeight="1">
      <c r="A6" s="40" t="s">
        <v>2</v>
      </c>
      <c r="B6" s="40"/>
      <c r="C6" s="40"/>
      <c r="D6" s="40"/>
      <c r="E6" s="40"/>
      <c r="F6" s="40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2" t="s">
        <v>18</v>
      </c>
    </row>
    <row r="11" spans="1:6" ht="64.5">
      <c r="A11" s="9" t="s">
        <v>3</v>
      </c>
      <c r="B11" s="9" t="s">
        <v>4</v>
      </c>
      <c r="C11" s="6" t="s">
        <v>7</v>
      </c>
      <c r="D11" s="6" t="s">
        <v>6</v>
      </c>
      <c r="E11" s="6" t="s">
        <v>8</v>
      </c>
      <c r="F11" s="6" t="s">
        <v>9</v>
      </c>
    </row>
    <row r="12" spans="1:6" ht="29.25" customHeight="1">
      <c r="A12" s="28" t="s">
        <v>19</v>
      </c>
      <c r="B12" s="28" t="s">
        <v>22</v>
      </c>
      <c r="C12" s="31">
        <v>2</v>
      </c>
      <c r="D12" s="31">
        <v>3</v>
      </c>
      <c r="E12" s="31">
        <v>2</v>
      </c>
      <c r="F12" s="45">
        <f>SUM(C12:E16)/9*100</f>
        <v>77.777777777777786</v>
      </c>
    </row>
    <row r="13" spans="1:6" ht="8.25" customHeight="1">
      <c r="A13" s="29"/>
      <c r="B13" s="29"/>
      <c r="C13" s="32"/>
      <c r="D13" s="32"/>
      <c r="E13" s="32"/>
      <c r="F13" s="46"/>
    </row>
    <row r="14" spans="1:6" ht="29.25" hidden="1" customHeight="1">
      <c r="A14" s="29"/>
      <c r="B14" s="29"/>
      <c r="C14" s="32"/>
      <c r="D14" s="32"/>
      <c r="E14" s="32"/>
      <c r="F14" s="45">
        <f>SUM(C14:E18)/9*100</f>
        <v>77.777777777777786</v>
      </c>
    </row>
    <row r="15" spans="1:6" ht="12.75" hidden="1" customHeight="1">
      <c r="A15" s="29"/>
      <c r="B15" s="29"/>
      <c r="C15" s="32"/>
      <c r="D15" s="32"/>
      <c r="E15" s="32"/>
      <c r="F15" s="46"/>
    </row>
    <row r="16" spans="1:6" s="3" customFormat="1" ht="29.25" hidden="1" customHeight="1">
      <c r="A16" s="29"/>
      <c r="B16" s="30"/>
      <c r="C16" s="36"/>
      <c r="D16" s="36"/>
      <c r="E16" s="36"/>
      <c r="F16" s="45">
        <f>SUM(C16:E20)/9*100</f>
        <v>77.777777777777786</v>
      </c>
    </row>
    <row r="17" spans="1:6" ht="14.25" customHeight="1">
      <c r="A17" s="29"/>
      <c r="B17" s="28" t="s">
        <v>23</v>
      </c>
      <c r="C17" s="31">
        <v>2</v>
      </c>
      <c r="D17" s="28">
        <v>3</v>
      </c>
      <c r="E17" s="28">
        <v>2</v>
      </c>
      <c r="F17" s="46"/>
    </row>
    <row r="18" spans="1:6" ht="14.25" customHeight="1">
      <c r="A18" s="29"/>
      <c r="B18" s="29"/>
      <c r="C18" s="32"/>
      <c r="D18" s="29"/>
      <c r="E18" s="29"/>
      <c r="F18" s="46"/>
    </row>
    <row r="19" spans="1:6" ht="11.25" customHeight="1">
      <c r="A19" s="29"/>
      <c r="B19" s="29"/>
      <c r="C19" s="32"/>
      <c r="D19" s="29"/>
      <c r="E19" s="29"/>
      <c r="F19" s="46"/>
    </row>
    <row r="20" spans="1:6" ht="3" hidden="1" customHeight="1">
      <c r="A20" s="29"/>
      <c r="B20" s="10"/>
      <c r="C20" s="11"/>
      <c r="D20" s="12"/>
      <c r="E20" s="12"/>
      <c r="F20" s="10"/>
    </row>
    <row r="21" spans="1:6" ht="14.25" hidden="1" customHeight="1">
      <c r="A21" s="29"/>
      <c r="B21" s="10"/>
      <c r="C21" s="13"/>
      <c r="D21" s="14"/>
      <c r="E21" s="14"/>
      <c r="F21" s="15"/>
    </row>
    <row r="22" spans="1:6">
      <c r="A22" s="30"/>
      <c r="B22" s="16"/>
      <c r="C22" s="42" t="s">
        <v>9</v>
      </c>
      <c r="D22" s="43"/>
      <c r="E22" s="44"/>
      <c r="F22" s="17">
        <f>AVERAGE(F12:F19)</f>
        <v>77.777777777777786</v>
      </c>
    </row>
    <row r="23" spans="1:6" ht="48" customHeight="1">
      <c r="A23" s="28" t="s">
        <v>20</v>
      </c>
      <c r="B23" s="18" t="s">
        <v>24</v>
      </c>
      <c r="C23" s="19">
        <v>2</v>
      </c>
      <c r="D23" s="20">
        <v>2</v>
      </c>
      <c r="E23" s="20">
        <v>2</v>
      </c>
      <c r="F23" s="17">
        <f>SUM([1]KKM!C22+[1]KKM!D22+[1]KKM!E22)/9*100</f>
        <v>66.666666666666657</v>
      </c>
    </row>
    <row r="24" spans="1:6" ht="27" customHeight="1">
      <c r="A24" s="29"/>
      <c r="B24" s="18" t="s">
        <v>25</v>
      </c>
      <c r="C24" s="19">
        <v>2</v>
      </c>
      <c r="D24" s="20">
        <v>2</v>
      </c>
      <c r="E24" s="20">
        <v>2</v>
      </c>
      <c r="F24" s="17">
        <v>67</v>
      </c>
    </row>
    <row r="25" spans="1:6" ht="27" customHeight="1">
      <c r="A25" s="30"/>
      <c r="B25" s="18"/>
      <c r="C25" s="47" t="s">
        <v>9</v>
      </c>
      <c r="D25" s="48"/>
      <c r="E25" s="49"/>
      <c r="F25" s="17">
        <v>67</v>
      </c>
    </row>
    <row r="26" spans="1:6" ht="44.25" customHeight="1">
      <c r="A26" s="28" t="s">
        <v>21</v>
      </c>
      <c r="B26" s="21" t="s">
        <v>26</v>
      </c>
      <c r="C26" s="22">
        <v>2</v>
      </c>
      <c r="D26" s="23">
        <v>2</v>
      </c>
      <c r="E26" s="23">
        <v>2</v>
      </c>
      <c r="F26" s="24">
        <v>67</v>
      </c>
    </row>
    <row r="27" spans="1:6" ht="39" customHeight="1">
      <c r="A27" s="29"/>
      <c r="B27" s="28" t="s">
        <v>27</v>
      </c>
      <c r="C27" s="31">
        <v>2</v>
      </c>
      <c r="D27" s="37">
        <v>3</v>
      </c>
      <c r="E27" s="37">
        <v>2</v>
      </c>
      <c r="F27" s="45">
        <v>78</v>
      </c>
    </row>
    <row r="28" spans="1:6" ht="14.25" customHeight="1">
      <c r="A28" s="29"/>
      <c r="B28" s="29"/>
      <c r="C28" s="32"/>
      <c r="D28" s="38"/>
      <c r="E28" s="38"/>
      <c r="F28" s="46"/>
    </row>
    <row r="29" spans="1:6" ht="14.25" customHeight="1">
      <c r="A29" s="29"/>
      <c r="B29" s="29"/>
      <c r="C29" s="36"/>
      <c r="D29" s="39"/>
      <c r="E29" s="39"/>
      <c r="F29" s="52"/>
    </row>
    <row r="30" spans="1:6">
      <c r="A30" s="30"/>
      <c r="B30" s="16"/>
      <c r="C30" s="33" t="s">
        <v>9</v>
      </c>
      <c r="D30" s="34"/>
      <c r="E30" s="35"/>
      <c r="F30" s="17">
        <f>(F23+F27)/2</f>
        <v>72.333333333333329</v>
      </c>
    </row>
    <row r="31" spans="1:6">
      <c r="A31" s="25"/>
      <c r="B31" s="26" t="s">
        <v>13</v>
      </c>
      <c r="C31" s="50">
        <v>75</v>
      </c>
      <c r="D31" s="50"/>
      <c r="E31" s="50"/>
      <c r="F31" s="50"/>
    </row>
    <row r="32" spans="1:6">
      <c r="A32" s="7"/>
      <c r="B32" s="8"/>
      <c r="C32" s="51"/>
      <c r="D32" s="51"/>
      <c r="E32" s="51"/>
      <c r="F32" s="51"/>
    </row>
    <row r="33" spans="1:6" ht="13.5">
      <c r="B33" s="4"/>
      <c r="C33" s="4"/>
      <c r="D33" s="4"/>
      <c r="E33" s="4"/>
      <c r="F33" s="4"/>
    </row>
    <row r="34" spans="1:6" ht="13.5">
      <c r="A34" s="27" t="s">
        <v>28</v>
      </c>
      <c r="B34" s="4"/>
      <c r="C34" s="4"/>
      <c r="D34" s="4"/>
      <c r="E34" s="4"/>
      <c r="F34" s="4"/>
    </row>
    <row r="35" spans="1:6" ht="13.5">
      <c r="A35" s="5" t="s">
        <v>17</v>
      </c>
      <c r="B35" s="4"/>
      <c r="C35" s="41" t="s">
        <v>16</v>
      </c>
      <c r="D35" s="41"/>
      <c r="E35" s="41"/>
      <c r="F35" s="41"/>
    </row>
    <row r="36" spans="1:6" ht="13.5">
      <c r="A36" s="5"/>
      <c r="B36" s="4"/>
      <c r="C36" s="5"/>
      <c r="D36" s="5"/>
      <c r="E36" s="5"/>
      <c r="F36" s="5"/>
    </row>
    <row r="37" spans="1:6" ht="13.5">
      <c r="A37" s="5"/>
      <c r="B37" s="4"/>
      <c r="C37" s="5"/>
      <c r="D37" s="5"/>
      <c r="E37" s="5"/>
      <c r="F37" s="5"/>
    </row>
    <row r="38" spans="1:6" ht="13.5">
      <c r="A38" s="4"/>
      <c r="B38" s="4"/>
      <c r="C38" s="4"/>
      <c r="D38" s="4"/>
      <c r="E38" s="4"/>
      <c r="F38" s="4"/>
    </row>
    <row r="39" spans="1:6" ht="13.5">
      <c r="A39" s="5" t="s">
        <v>10</v>
      </c>
      <c r="B39" s="4"/>
      <c r="C39" s="41" t="s">
        <v>15</v>
      </c>
      <c r="D39" s="41"/>
      <c r="E39" s="41"/>
      <c r="F39" s="41"/>
    </row>
    <row r="40" spans="1:6" ht="13.5">
      <c r="A40" s="4" t="s">
        <v>11</v>
      </c>
      <c r="B40" s="4"/>
      <c r="C40" s="41" t="s">
        <v>12</v>
      </c>
      <c r="D40" s="41"/>
      <c r="E40" s="41"/>
      <c r="F40" s="41"/>
    </row>
  </sheetData>
  <mergeCells count="32">
    <mergeCell ref="C40:F40"/>
    <mergeCell ref="B12:B16"/>
    <mergeCell ref="C12:C16"/>
    <mergeCell ref="D12:D16"/>
    <mergeCell ref="C35:F35"/>
    <mergeCell ref="C22:E22"/>
    <mergeCell ref="F12:F13"/>
    <mergeCell ref="C25:E25"/>
    <mergeCell ref="C39:F39"/>
    <mergeCell ref="C31:F31"/>
    <mergeCell ref="C32:F32"/>
    <mergeCell ref="F27:F29"/>
    <mergeCell ref="F14:F15"/>
    <mergeCell ref="F16:F19"/>
    <mergeCell ref="A2:F2"/>
    <mergeCell ref="A3:F3"/>
    <mergeCell ref="A4:F4"/>
    <mergeCell ref="A5:F5"/>
    <mergeCell ref="A6:F6"/>
    <mergeCell ref="A12:A22"/>
    <mergeCell ref="E17:E19"/>
    <mergeCell ref="D17:D19"/>
    <mergeCell ref="C17:C19"/>
    <mergeCell ref="C30:E30"/>
    <mergeCell ref="B27:B29"/>
    <mergeCell ref="B17:B19"/>
    <mergeCell ref="A23:A25"/>
    <mergeCell ref="A26:A30"/>
    <mergeCell ref="C27:C29"/>
    <mergeCell ref="D27:D29"/>
    <mergeCell ref="E12:E16"/>
    <mergeCell ref="E27:E29"/>
  </mergeCells>
  <phoneticPr fontId="2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KKM KELAS 3 SEM 1</vt:lpstr>
      <vt:lpstr>Sheet1</vt:lpstr>
    </vt:vector>
  </TitlesOfParts>
  <Company>Personal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Bagus</dc:creator>
  <cp:lastModifiedBy>himpuni</cp:lastModifiedBy>
  <cp:lastPrinted>2011-12-03T03:42:01Z</cp:lastPrinted>
  <dcterms:created xsi:type="dcterms:W3CDTF">2011-12-13T04:20:06Z</dcterms:created>
  <dcterms:modified xsi:type="dcterms:W3CDTF">2015-01-30T20:11:01Z</dcterms:modified>
</cp:coreProperties>
</file>